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12-Week Tracker" sheetId="1" state="visible" r:id="rId1"/>
  </sheets>
  <definedNames>
    <definedName name="_xlnm._FilterDatabase" localSheetId="0" hidden="1">'12-Week Tracker'!$A$1:$K$13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2">
    <numFmt numFmtId="164" formatCode="d/m/yyyy"/>
    <numFmt numFmtId="165" formatCode="dd/mm/yyyy"/>
  </numFmts>
  <fonts count="4">
    <font>
      <name val="Arial"/>
      <color rgb="FF000000"/>
      <sz val="10"/>
      <scheme val="minor"/>
    </font>
    <font>
      <name val="Arial"/>
      <b val="1"/>
      <color theme="1"/>
      <sz val="13"/>
      <scheme val="minor"/>
    </font>
    <font>
      <name val="Arial"/>
      <color theme="1"/>
      <scheme val="minor"/>
    </font>
    <font>
      <b val="1"/>
      <color rgb="00FFFFFF"/>
    </font>
  </fonts>
  <fills count="3">
    <fill>
      <patternFill/>
    </fill>
    <fill>
      <patternFill patternType="lightGray"/>
    </fill>
    <fill>
      <patternFill patternType="solid">
        <fgColor rgb="0017365D"/>
      </patternFill>
    </fill>
  </fills>
  <borders count="1">
    <border/>
  </borders>
  <cellStyleXfs count="1">
    <xf numFmtId="0" fontId="0" fillId="0" borderId="0"/>
  </cellStyleXfs>
  <cellXfs count="1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165" fontId="2" fillId="0" borderId="0" pivotButton="0" quotePrefix="0" xfId="0"/>
    <xf numFmtId="0" fontId="2" fillId="0" borderId="0" pivotButton="0" quotePrefix="0" xfId="0"/>
    <xf numFmtId="0" fontId="0" fillId="0" borderId="0" pivotButton="0" quotePrefix="0" xfId="0"/>
    <xf numFmtId="0" fontId="3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9" fontId="0" fillId="0" borderId="0" applyAlignment="1" pivotButton="0" quotePrefix="0" xfId="0">
      <alignment vertical="top" wrapText="1"/>
    </xf>
    <xf numFmtId="165" fontId="2" fillId="0" borderId="0" applyAlignment="1" pivotButton="0" quotePrefix="0" xfId="0">
      <alignment vertical="top" wrapText="1"/>
    </xf>
  </cellXfs>
  <cellStyles count="1">
    <cellStyle name="Normal" xfId="0" builtinId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13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2.63" defaultRowHeight="15.75" customHeight="1"/>
  <cols>
    <col width="9" customWidth="1" style="6" min="1" max="1"/>
    <col width="29" customWidth="1" style="6" min="2" max="2"/>
    <col width="53" customWidth="1" style="6" min="3" max="3"/>
    <col width="56" customWidth="1" style="6" min="4" max="4"/>
    <col width="18" customWidth="1" style="6" min="5" max="5"/>
    <col width="23" customWidth="1" style="6" min="6" max="6"/>
    <col width="14" customWidth="1" style="6" min="7" max="7"/>
    <col width="14" customWidth="1" style="6" min="8" max="8"/>
    <col width="45" customWidth="1" style="6" min="9" max="9"/>
    <col width="30" customWidth="1" style="6" min="10" max="10"/>
    <col width="24" customWidth="1" style="6" min="11" max="11"/>
    <col width="20" customWidth="1" style="6" min="13" max="13"/>
    <col width="26" customWidth="1" style="6" min="14" max="14"/>
    <col width="12" customWidth="1" style="6" min="15" max="15"/>
  </cols>
  <sheetData>
    <row r="1" ht="32.25" customHeight="1" s="6">
      <c r="A1" s="7" t="inlineStr">
        <is>
          <t>Week</t>
        </is>
      </c>
      <c r="B1" s="7" t="inlineStr">
        <is>
          <t>Focus</t>
        </is>
      </c>
      <c r="C1" s="7" t="inlineStr">
        <is>
          <t>Planned task</t>
        </is>
      </c>
      <c r="D1" s="7" t="inlineStr">
        <is>
          <t>Completion evidence</t>
        </is>
      </c>
      <c r="E1" s="7" t="inlineStr">
        <is>
          <t>Status</t>
        </is>
      </c>
      <c r="F1" s="7" t="inlineStr">
        <is>
          <t>Target / completion date</t>
        </is>
      </c>
      <c r="G1" s="7" t="inlineStr">
        <is>
          <t>Planned hours</t>
        </is>
      </c>
      <c r="H1" s="7" t="inlineStr">
        <is>
          <t>Actual hours</t>
        </is>
      </c>
      <c r="I1" s="7" t="inlineStr">
        <is>
          <t>Resource link</t>
        </is>
      </c>
      <c r="J1" s="7" t="inlineStr">
        <is>
          <t>Evidence / project link</t>
        </is>
      </c>
      <c r="K1" s="7" t="inlineStr">
        <is>
          <t>Notes</t>
        </is>
      </c>
      <c r="L1" s="7" t="n"/>
      <c r="M1" s="7" t="inlineStr">
        <is>
          <t>Summary</t>
        </is>
      </c>
      <c r="N1" s="7" t="n"/>
      <c r="O1" s="7" t="n"/>
    </row>
    <row r="2" ht="52" customHeight="1" s="6">
      <c r="A2" s="8" t="n">
        <v>1</v>
      </c>
      <c r="B2" s="8" t="inlineStr">
        <is>
          <t>Spreadsheet foundations</t>
        </is>
      </c>
      <c r="C2" s="8" t="inlineStr">
        <is>
          <t>Inspect a small public sales dataset; note fields and data-quality issues.</t>
        </is>
      </c>
      <c r="D2" s="8" t="inlineStr">
        <is>
          <t>Clean table, consistent headers/types, 4 working formulas, short data dictionary.</t>
        </is>
      </c>
      <c r="E2" s="8" t="inlineStr">
        <is>
          <t>Completed</t>
        </is>
      </c>
      <c r="F2" s="9" t="inlineStr">
        <is>
          <t>2026-10-17</t>
        </is>
      </c>
      <c r="G2" s="10" t="n">
        <v>6</v>
      </c>
      <c r="H2" s="10" t="n"/>
      <c r="I2" s="10" t="inlineStr">
        <is>
          <t>Google Sheets or Excel; Microsoft PivotTable guide</t>
        </is>
      </c>
      <c r="J2" s="10" t="n"/>
      <c r="K2" s="10" t="n"/>
      <c r="L2" s="10" t="n"/>
      <c r="M2" s="10" t="inlineStr">
        <is>
          <t>Completion rate</t>
        </is>
      </c>
      <c r="N2" s="11">
        <f>COUNTIF(E2:E13,"Completed")/COUNTA(A2:A13)</f>
        <v/>
      </c>
      <c r="O2" s="10" t="n"/>
    </row>
    <row r="3" ht="52" customHeight="1" s="6">
      <c r="A3" s="8" t="n">
        <v>2</v>
      </c>
      <c r="B3" s="8" t="inlineStr">
        <is>
          <t>Spreadsheet analysis</t>
        </is>
      </c>
      <c r="C3" s="8" t="inlineStr">
        <is>
          <t>Build a region/product summary and answer 3 questions; reconcile totals.</t>
        </is>
      </c>
      <c r="D3" s="8" t="inlineStr">
        <is>
          <t>One pivot, 2 labelled charts, 3 evidence-based answers; record source/licence.</t>
        </is>
      </c>
      <c r="E3" s="8" t="inlineStr">
        <is>
          <t>In Progress</t>
        </is>
      </c>
      <c r="F3" s="9" t="inlineStr">
        <is>
          <t>2026-10-24</t>
        </is>
      </c>
      <c r="G3" s="10" t="n">
        <v>6</v>
      </c>
      <c r="H3" s="10" t="n"/>
      <c r="I3" s="10" t="inlineStr">
        <is>
          <t>Google Sheets help; Microsoft PivotTable guide</t>
        </is>
      </c>
      <c r="J3" s="10" t="n"/>
      <c r="K3" s="10" t="n"/>
      <c r="L3" s="10" t="n"/>
      <c r="M3" s="10" t="inlineStr">
        <is>
          <t>Planned hours</t>
        </is>
      </c>
      <c r="N3" s="10">
        <f>SUM(G2:G13)</f>
        <v/>
      </c>
      <c r="O3" s="10" t="n"/>
    </row>
    <row r="4" ht="52" customHeight="1" s="6">
      <c r="A4" s="8" t="n">
        <v>3</v>
      </c>
      <c r="B4" s="8" t="inlineStr">
        <is>
          <t>SQL foundations</t>
        </is>
      </c>
      <c r="C4" s="8" t="inlineStr">
        <is>
          <t>Translate 5 spreadsheet questions into SQL; complete introductory exercises.</t>
        </is>
      </c>
      <c r="D4" s="8" t="inlineStr">
        <is>
          <t>At least 8 correct single-table queries saved with question/result notes.</t>
        </is>
      </c>
      <c r="E4" s="8" t="inlineStr">
        <is>
          <t>Not Started</t>
        </is>
      </c>
      <c r="F4" s="12" t="inlineStr">
        <is>
          <t>2026-10-27</t>
        </is>
      </c>
      <c r="G4" s="10" t="n">
        <v>6</v>
      </c>
      <c r="H4" s="10" t="n"/>
      <c r="I4" s="10" t="inlineStr">
        <is>
          <t>SQLBolt Lessons 1–5</t>
        </is>
      </c>
      <c r="J4" s="10" t="n"/>
      <c r="K4" s="10" t="n"/>
      <c r="L4" s="10" t="n"/>
      <c r="M4" s="10" t="inlineStr">
        <is>
          <t>Actual hours</t>
        </is>
      </c>
      <c r="N4" s="10">
        <f>SUM(H2:H13)</f>
        <v/>
      </c>
      <c r="O4" s="10" t="n"/>
    </row>
    <row r="5" ht="52" customHeight="1" s="6">
      <c r="A5" s="8" t="n">
        <v>4</v>
      </c>
      <c r="B5" s="8" t="inlineStr">
        <is>
          <t>SQL aggregation and joins</t>
        </is>
      </c>
      <c r="C5" s="8" t="inlineStr">
        <is>
          <t>Answer questions spanning related tables.</t>
        </is>
      </c>
      <c r="D5" s="8" t="inlineStr">
        <is>
          <t>At least 5 queries including join and grouped result; reconcile one total.</t>
        </is>
      </c>
      <c r="E5" s="8" t="inlineStr">
        <is>
          <t>Not Started</t>
        </is>
      </c>
      <c r="F5" s="8" t="n"/>
      <c r="G5" s="10" t="n">
        <v>6</v>
      </c>
      <c r="H5" s="10" t="n"/>
      <c r="I5" s="10" t="inlineStr">
        <is>
          <t>SQLBolt Lessons 6–12/topics; Kaggle Intro to SQL</t>
        </is>
      </c>
      <c r="J5" s="10" t="n"/>
      <c r="K5" s="10" t="n"/>
      <c r="L5" s="10" t="n"/>
      <c r="M5" s="10" t="inlineStr">
        <is>
          <t>Status counts</t>
        </is>
      </c>
      <c r="N5" s="10" t="n"/>
      <c r="O5" s="10" t="n"/>
    </row>
    <row r="6" ht="52" customHeight="1" s="6">
      <c r="A6" s="8" t="n">
        <v>5</v>
      </c>
      <c r="B6" s="8" t="inlineStr">
        <is>
          <t>SQL for reusable analysis</t>
        </is>
      </c>
      <c r="C6" s="8" t="inlineStr">
        <is>
          <t>Create multi-step CTE with CASE categories and export a result table.</t>
        </is>
      </c>
      <c r="D6" s="8" t="inlineStr">
        <is>
          <t>Runnable CTE + CASE query and CSV; note SQL dialect/adaptations.</t>
        </is>
      </c>
      <c r="E6" s="8" t="inlineStr">
        <is>
          <t>Not Started</t>
        </is>
      </c>
      <c r="F6" s="8" t="n"/>
      <c r="G6" s="10" t="n">
        <v>6</v>
      </c>
      <c r="H6" s="10" t="n"/>
      <c r="I6" s="10" t="inlineStr">
        <is>
          <t>Kaggle Intro to SQL; SQLBolt intermediate topics</t>
        </is>
      </c>
      <c r="J6" s="10" t="n"/>
      <c r="K6" s="10" t="n"/>
      <c r="L6" s="10" t="n"/>
      <c r="M6" s="10" t="n"/>
      <c r="N6" s="10" t="inlineStr">
        <is>
          <t>Completed</t>
        </is>
      </c>
      <c r="O6" s="10">
        <f>COUNTIF(E2:E13,"Completed")</f>
        <v/>
      </c>
    </row>
    <row r="7" ht="52" customHeight="1" s="6">
      <c r="A7" s="8" t="n">
        <v>6</v>
      </c>
      <c r="B7" s="8" t="inlineStr">
        <is>
          <t>Python and Pandas start</t>
        </is>
      </c>
      <c r="C7" s="8" t="inlineStr">
        <is>
          <t>Load Week 5 CSV and produce a grouped summary.</t>
        </is>
      </c>
      <c r="D7" s="8" t="inlineStr">
        <is>
          <t>Notebook runs top-to-bottom; row count and grouped totals checked.</t>
        </is>
      </c>
      <c r="E7" s="8" t="inlineStr">
        <is>
          <t>Not Started</t>
        </is>
      </c>
      <c r="F7" s="8" t="n"/>
      <c r="G7" s="10" t="n">
        <v>6</v>
      </c>
      <c r="H7" s="10" t="n"/>
      <c r="I7" s="10" t="inlineStr">
        <is>
          <t>Kaggle Intro to Programming/Python; Pandas tutorials</t>
        </is>
      </c>
      <c r="J7" s="10" t="n"/>
      <c r="K7" s="10" t="n"/>
      <c r="L7" s="10" t="n"/>
      <c r="M7" s="10" t="n"/>
      <c r="N7" s="10" t="inlineStr">
        <is>
          <t>In Progress</t>
        </is>
      </c>
      <c r="O7" s="10">
        <f>COUNTIF(E2:E13,"In Progress")</f>
        <v/>
      </c>
    </row>
    <row r="8" ht="52" customHeight="1" s="6">
      <c r="A8" s="8" t="n">
        <v>7</v>
      </c>
      <c r="B8" s="8" t="inlineStr">
        <is>
          <t>Cleaning and exploratory analysis</t>
        </is>
      </c>
      <c r="C8" s="8" t="inlineStr">
        <is>
          <t>Clean selected dataset; log changes, reasons, impact; keep raw source distinct.</t>
        </is>
      </c>
      <c r="D8" s="8" t="inlineStr">
        <is>
          <t>Reproducible steps, before/after row counts, explained nulls, 3 findings.</t>
        </is>
      </c>
      <c r="E8" s="8" t="inlineStr">
        <is>
          <t>Not Started</t>
        </is>
      </c>
      <c r="F8" s="8" t="n"/>
      <c r="G8" s="10" t="n">
        <v>6</v>
      </c>
      <c r="H8" s="10" t="n"/>
      <c r="I8" s="10" t="inlineStr">
        <is>
          <t>Kaggle Data Cleaning; Pandas tutorials</t>
        </is>
      </c>
      <c r="J8" s="10" t="n"/>
      <c r="K8" s="10" t="n"/>
      <c r="L8" s="10" t="n"/>
      <c r="M8" s="10" t="n"/>
      <c r="N8" s="10" t="inlineStr">
        <is>
          <t>Not Started</t>
        </is>
      </c>
      <c r="O8" s="10">
        <f>COUNTIF(E2:E13,"Not Started")</f>
        <v/>
      </c>
    </row>
    <row r="9" ht="52" customHeight="1" s="6">
      <c r="A9" s="8" t="n">
        <v>8</v>
      </c>
      <c r="B9" s="8" t="inlineStr">
        <is>
          <t>Statistics for analysts</t>
        </is>
      </c>
      <c r="C9" s="8" t="inlineStr">
        <is>
          <t>Summarize cleaned data; explain one limitation and correlation ≠ causation.</t>
        </is>
      </c>
      <c r="D9" s="8" t="inlineStr">
        <is>
          <t>Plain-language note with 5 statistics and 3 interpretations.</t>
        </is>
      </c>
      <c r="E9" s="8" t="inlineStr">
        <is>
          <t>Not Started</t>
        </is>
      </c>
      <c r="F9" s="8" t="n"/>
      <c r="G9" s="10" t="n">
        <v>6</v>
      </c>
      <c r="H9" s="10" t="n"/>
      <c r="I9" s="10" t="inlineStr">
        <is>
          <t>Khan Academy Statistics; Pandas docs</t>
        </is>
      </c>
      <c r="J9" s="10" t="n"/>
      <c r="K9" s="10" t="n"/>
      <c r="L9" s="10" t="n"/>
      <c r="M9" s="10" t="n"/>
      <c r="N9" s="10" t="inlineStr">
        <is>
          <t>Needs Review</t>
        </is>
      </c>
      <c r="O9" s="10">
        <f>COUNTIF(E2:E13,"Needs Review")</f>
        <v/>
      </c>
    </row>
    <row r="10" ht="52" customHeight="1" s="6">
      <c r="A10" s="8" t="n">
        <v>9</v>
      </c>
      <c r="B10" s="8" t="inlineStr">
        <is>
          <t>Visual storytelling</t>
        </is>
      </c>
      <c r="C10" s="8" t="inlineStr">
        <is>
          <t>Create charts for project questions; write a takeaway for each.</t>
        </is>
      </c>
      <c r="D10" s="8" t="inlineStr">
        <is>
          <t>4 readable charts with labels and evidence-based takeaways.</t>
        </is>
      </c>
      <c r="E10" s="8" t="inlineStr">
        <is>
          <t>Not Started</t>
        </is>
      </c>
      <c r="F10" s="8" t="n"/>
      <c r="G10" s="10" t="n">
        <v>6</v>
      </c>
      <c r="H10" s="10" t="n"/>
      <c r="I10" s="10" t="inlineStr">
        <is>
          <t>Matplotlib; Seaborn; Kaggle Data Visualization</t>
        </is>
      </c>
      <c r="J10" s="10" t="n"/>
      <c r="K10" s="10" t="n"/>
      <c r="L10" s="10" t="n"/>
      <c r="M10" s="10" t="n"/>
      <c r="N10" s="10" t="n"/>
      <c r="O10" s="10" t="n"/>
    </row>
    <row r="11" ht="52" customHeight="1" s="6">
      <c r="A11" s="8" t="n">
        <v>10</v>
      </c>
      <c r="B11" s="8" t="inlineStr">
        <is>
          <t>Dashboard and QA</t>
        </is>
      </c>
      <c r="C11" s="8" t="inlineStr">
        <is>
          <t>Build interactive or spreadsheet dashboard; verify KPIs against SQL/Pandas.</t>
        </is>
      </c>
      <c r="D11" s="8" t="inlineStr">
        <is>
          <t>3 KPIs, one useful filter and validation notes; Tableau/Sheets alternative.</t>
        </is>
      </c>
      <c r="E11" s="8" t="inlineStr">
        <is>
          <t>Not Started</t>
        </is>
      </c>
      <c r="F11" s="8" t="n"/>
      <c r="G11" s="10" t="n">
        <v>6</v>
      </c>
      <c r="H11" s="10" t="n"/>
      <c r="I11" s="10" t="inlineStr">
        <is>
          <t>Tableau Public; Microsoft Learn Power BI training</t>
        </is>
      </c>
      <c r="J11" s="10" t="n"/>
      <c r="K11" s="10" t="n"/>
      <c r="L11" s="10" t="n"/>
      <c r="M11" s="10" t="n"/>
      <c r="N11" s="10" t="n"/>
      <c r="O11" s="10" t="n"/>
    </row>
    <row r="12" ht="52" customHeight="1" s="6">
      <c r="A12" s="8" t="n">
        <v>11</v>
      </c>
      <c r="B12" s="8" t="inlineStr">
        <is>
          <t>Portfolio assembly</t>
        </is>
      </c>
      <c r="C12" s="8" t="inlineStr">
        <is>
          <t>Assemble project; request peer review if available.</t>
        </is>
      </c>
      <c r="D12" s="8" t="inlineStr">
        <is>
          <t>Repository/folder has source attribution, SQL, notebook, visuals and README draft.</t>
        </is>
      </c>
      <c r="E12" s="8" t="inlineStr">
        <is>
          <t>Not Started</t>
        </is>
      </c>
      <c r="F12" s="8" t="n"/>
      <c r="G12" s="10" t="n">
        <v>6</v>
      </c>
      <c r="H12" s="10" t="n"/>
      <c r="I12" s="10" t="inlineStr">
        <is>
          <t>GitHub Guides; GitHub Free; Kaggle Datasets</t>
        </is>
      </c>
      <c r="J12" s="10" t="n"/>
      <c r="K12" s="10" t="n"/>
      <c r="L12" s="10" t="n"/>
      <c r="M12" s="10" t="n"/>
      <c r="N12" s="10" t="n"/>
      <c r="O12" s="10" t="n"/>
    </row>
    <row r="13" ht="52" customHeight="1" s="6">
      <c r="A13" s="8" t="n">
        <v>12</v>
      </c>
      <c r="B13" s="8" t="inlineStr">
        <is>
          <t>Review and presentation</t>
        </is>
      </c>
      <c r="C13" s="8" t="inlineStr">
        <is>
          <t>Re-run from clean start; address review feedback; record 3–5 minute demo.</t>
        </is>
      </c>
      <c r="D13" s="8" t="inlineStr">
        <is>
          <t>Reproducible project, final README, limitations, recommendations, demo.</t>
        </is>
      </c>
      <c r="E13" s="8" t="inlineStr">
        <is>
          <t>Not Started</t>
        </is>
      </c>
      <c r="F13" s="8" t="n"/>
      <c r="G13" s="10" t="n">
        <v>6</v>
      </c>
      <c r="H13" s="10" t="n"/>
      <c r="I13" s="10" t="inlineStr">
        <is>
          <t>GitHub; chosen dashboard tool</t>
        </is>
      </c>
      <c r="J13" s="10" t="n"/>
      <c r="K13" s="10" t="n"/>
      <c r="L13" s="10" t="n"/>
      <c r="M13" s="10" t="n"/>
      <c r="N13" s="10" t="n"/>
      <c r="O13" s="10" t="n"/>
    </row>
  </sheetData>
  <autoFilter ref="A1:K13"/>
  <conditionalFormatting sqref="E2:E13">
    <cfRule type="cellIs" priority="1" operator="equal" dxfId="0">
      <formula>"Completed"</formula>
    </cfRule>
    <cfRule type="cellIs" priority="2" operator="equal" dxfId="1">
      <formula>"Needs Review"</formula>
    </cfRule>
  </conditionalFormatting>
  <dataValidations count="3">
    <dataValidation sqref="F1:F13" showDropDown="1" showInputMessage="1" showErrorMessage="1" allowBlank="1" prompt="Enter a valid date" type="custom">
      <formula1>OR(NOT(ISERROR(DATEVALUE(F1))), AND(ISNUMBER(F1), LEFT(CELL("format", F1))="D"))</formula1>
    </dataValidation>
    <dataValidation sqref="E1:E13" showDropDown="0" showInputMessage="0" showErrorMessage="1" allowBlank="1" type="list">
      <formula1>"Progress,Completed,In Progress,Not Yet Started"</formula1>
    </dataValidation>
    <dataValidation sqref="E2:E13" showDropDown="0" showInputMessage="0" showErrorMessage="0" allowBlank="0" type="list">
      <formula1>"Not Started,In Progress,Completed,Needs Review"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2026-10-24T08:26:42Z</dcterms:created>
  <dcterms:modified xmlns:dcterms="http://purl.org/dc/terms/" xmlns:xsi="http://www.w3.org/2001/XMLSchema-instance" xsi:type="dcterms:W3CDTF">2026-10-24T08:26:42Z</dcterms:modified>
</cp:coreProperties>
</file>